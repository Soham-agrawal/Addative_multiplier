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oham\Documents\soham\codes\logarithmic_multiplier\"/>
    </mc:Choice>
  </mc:AlternateContent>
  <xr:revisionPtr revIDLastSave="0" documentId="13_ncr:1_{2A26FCE1-8D24-4079-B91D-36C196DE92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I10" i="1"/>
  <c r="H10" i="1"/>
  <c r="B10" i="1"/>
</calcChain>
</file>

<file path=xl/sharedStrings.xml><?xml version="1.0" encoding="utf-8"?>
<sst xmlns="http://schemas.openxmlformats.org/spreadsheetml/2006/main" count="43" uniqueCount="33">
  <si>
    <t>Active Logic Cells</t>
  </si>
  <si>
    <t>Core Utilization</t>
  </si>
  <si>
    <t>bf16_r2_clm</t>
  </si>
  <si>
    <t>bf16_r2_fplm1</t>
  </si>
  <si>
    <t>bf16_r4_clm</t>
  </si>
  <si>
    <t>bf16_r4_fplm1</t>
  </si>
  <si>
    <t>fp16_r2_clm</t>
  </si>
  <si>
    <t>fp16_r2_fplm1</t>
  </si>
  <si>
    <t>fp16_r4_clm</t>
  </si>
  <si>
    <t>fp16_r4_fplm1</t>
  </si>
  <si>
    <t>Total Power (uW)</t>
  </si>
  <si>
    <t>internal Power (uW)</t>
  </si>
  <si>
    <t>Switching Power (uW)</t>
  </si>
  <si>
    <t>Leakage Power (nW)</t>
  </si>
  <si>
    <t>STD Cell Area(logic) (um^2)</t>
  </si>
  <si>
    <t>Core Area (um^2)</t>
  </si>
  <si>
    <t>Core Utilization(%)</t>
  </si>
  <si>
    <t>MRED</t>
  </si>
  <si>
    <t>FAST UNIFIED MULTIPLIER NEURAL NETWORK EVALUATION</t>
  </si>
  <si>
    <t>Speed 0</t>
  </si>
  <si>
    <t>Epoch 1/5</t>
  </si>
  <si>
    <t>Epoch 2/5</t>
  </si>
  <si>
    <t>Epoch 3/5</t>
  </si>
  <si>
    <t>Epoch 4/5</t>
  </si>
  <si>
    <t>Epoch 5/5</t>
  </si>
  <si>
    <t>Evaluated in 1000 samles in(s) - (Exact baseline = 3.6s)</t>
  </si>
  <si>
    <t>Baseline = 97.34%</t>
  </si>
  <si>
    <t>Speed 1</t>
  </si>
  <si>
    <t>Evaluated in 1000 samles in(s) - (Exact baseline = 4.0s)</t>
  </si>
  <si>
    <t>Speed 2</t>
  </si>
  <si>
    <t>Evaluated in 1000 samles in(s) - (Exact baseline = 3.8s)</t>
  </si>
  <si>
    <t>Baseline = 97.35%</t>
  </si>
  <si>
    <t>Baseline = 97.37%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</si>
</sst>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C4" sqref="C4"/>
    </sheetView>
  </sheetViews>
  <sheetFormatPr defaultRowHeight="14.5" x14ac:dyDescent="0.35"/>
  <cols>
    <col min="1" max="1" width="45.08984375" customWidth="1"/>
    <col min="2" max="2" width="12.90625" customWidth="1"/>
    <col min="3" max="3" width="16.26953125" customWidth="1"/>
    <col min="4" max="4" width="12.453125" customWidth="1"/>
    <col min="5" max="5" width="15" customWidth="1"/>
    <col min="6" max="6" width="12.7265625" customWidth="1"/>
    <col min="7" max="7" width="13.453125" customWidth="1"/>
    <col min="8" max="8" width="14.1796875" customWidth="1"/>
    <col min="9" max="9" width="15" customWidth="1"/>
  </cols>
  <sheetData>
    <row r="1" spans="1:9" x14ac:dyDescent="0.35">
      <c r="B1" t="s">
        <v>8</v>
      </c>
      <c r="C1" t="s">
        <v>4</v>
      </c>
      <c r="D1" t="s">
        <v>2</v>
      </c>
      <c r="E1" t="s">
        <v>6</v>
      </c>
      <c r="F1" t="s">
        <v>5</v>
      </c>
      <c r="G1" t="s">
        <v>3</v>
      </c>
      <c r="H1" t="s">
        <v>9</v>
      </c>
      <c r="I1" t="s">
        <v>7</v>
      </c>
    </row>
    <row r="2" spans="1:9" x14ac:dyDescent="0.35">
      <c r="A2" t="s">
        <v>10</v>
      </c>
      <c r="B2">
        <v>50.68</v>
      </c>
      <c r="C2">
        <v>51.3</v>
      </c>
      <c r="D2">
        <v>55.28</v>
      </c>
      <c r="E2">
        <v>55.4</v>
      </c>
      <c r="F2">
        <v>63.12</v>
      </c>
      <c r="G2">
        <v>71.510000000000005</v>
      </c>
      <c r="H2">
        <v>71.73</v>
      </c>
      <c r="I2">
        <v>77.59</v>
      </c>
    </row>
    <row r="3" spans="1:9" x14ac:dyDescent="0.35">
      <c r="A3" t="s">
        <v>11</v>
      </c>
      <c r="B3">
        <v>22.49</v>
      </c>
      <c r="C3">
        <v>22.7</v>
      </c>
      <c r="D3">
        <v>24.47</v>
      </c>
      <c r="E3">
        <v>24.9</v>
      </c>
      <c r="F3">
        <v>27.55</v>
      </c>
      <c r="G3">
        <v>31.4</v>
      </c>
      <c r="H3">
        <v>31.89</v>
      </c>
      <c r="I3">
        <v>34.26</v>
      </c>
    </row>
    <row r="4" spans="1:9" x14ac:dyDescent="0.35">
      <c r="A4" t="s">
        <v>12</v>
      </c>
      <c r="B4">
        <v>28.18</v>
      </c>
      <c r="C4">
        <v>28.6</v>
      </c>
      <c r="D4">
        <v>30.81</v>
      </c>
      <c r="E4">
        <v>30.49</v>
      </c>
      <c r="F4">
        <v>35.56</v>
      </c>
      <c r="G4">
        <v>40.1</v>
      </c>
      <c r="H4">
        <v>39.83</v>
      </c>
      <c r="I4">
        <v>43.32</v>
      </c>
    </row>
    <row r="5" spans="1:9" x14ac:dyDescent="0.35">
      <c r="A5" t="s">
        <v>13</v>
      </c>
      <c r="B5">
        <v>1.26</v>
      </c>
      <c r="C5">
        <v>1.25</v>
      </c>
      <c r="D5">
        <v>1.39</v>
      </c>
      <c r="E5">
        <v>1.48</v>
      </c>
      <c r="F5">
        <v>1.5</v>
      </c>
      <c r="G5">
        <v>1.77</v>
      </c>
      <c r="H5">
        <v>1.62</v>
      </c>
      <c r="I5">
        <v>1.78</v>
      </c>
    </row>
    <row r="6" spans="1:9" x14ac:dyDescent="0.35">
      <c r="A6" t="s">
        <v>14</v>
      </c>
      <c r="B6">
        <v>1278.73</v>
      </c>
      <c r="C6">
        <v>1291.24</v>
      </c>
      <c r="D6">
        <v>1396.34</v>
      </c>
      <c r="E6">
        <v>1385.08</v>
      </c>
      <c r="F6">
        <v>1452.64</v>
      </c>
      <c r="G6">
        <v>1650.33</v>
      </c>
      <c r="H6">
        <v>1541.48</v>
      </c>
      <c r="I6">
        <v>1659.09</v>
      </c>
    </row>
    <row r="7" spans="1:9" x14ac:dyDescent="0.35">
      <c r="A7" t="s">
        <v>15</v>
      </c>
      <c r="B7">
        <v>1506.44</v>
      </c>
      <c r="C7">
        <v>1523.96</v>
      </c>
      <c r="D7">
        <v>1689.12</v>
      </c>
      <c r="E7">
        <v>1689.12</v>
      </c>
      <c r="F7">
        <v>1901.82</v>
      </c>
      <c r="G7">
        <v>2169.58</v>
      </c>
      <c r="H7">
        <v>1981.9</v>
      </c>
      <c r="I7">
        <v>2190.85</v>
      </c>
    </row>
    <row r="8" spans="1:9" x14ac:dyDescent="0.35">
      <c r="A8" t="s">
        <v>0</v>
      </c>
      <c r="B8">
        <v>146</v>
      </c>
      <c r="C8">
        <v>147</v>
      </c>
      <c r="D8">
        <v>166</v>
      </c>
      <c r="E8">
        <v>164</v>
      </c>
      <c r="F8">
        <v>171</v>
      </c>
      <c r="G8">
        <v>196</v>
      </c>
      <c r="H8">
        <v>180</v>
      </c>
      <c r="I8">
        <v>197</v>
      </c>
    </row>
    <row r="9" spans="1:9" x14ac:dyDescent="0.35">
      <c r="A9" t="s">
        <v>1</v>
      </c>
      <c r="B9">
        <v>0.84883699999999995</v>
      </c>
      <c r="C9">
        <v>0.84729100000000002</v>
      </c>
      <c r="D9">
        <v>0.82666700000000004</v>
      </c>
      <c r="E9">
        <v>0.82</v>
      </c>
      <c r="F9">
        <v>0.76381600000000005</v>
      </c>
      <c r="G9">
        <v>0.76066900000000004</v>
      </c>
      <c r="H9">
        <v>0.77777799999999997</v>
      </c>
      <c r="I9">
        <v>0.75728200000000001</v>
      </c>
    </row>
    <row r="10" spans="1:9" x14ac:dyDescent="0.35">
      <c r="A10" t="s">
        <v>16</v>
      </c>
      <c r="B10">
        <f>(B6/B7)*100</f>
        <v>84.884230370940756</v>
      </c>
      <c r="C10">
        <f t="shared" ref="C10:I10" si="0">(C6/C7)*100</f>
        <v>84.729257985773899</v>
      </c>
      <c r="D10">
        <f t="shared" si="0"/>
        <v>82.66671402860662</v>
      </c>
      <c r="E10">
        <f t="shared" si="0"/>
        <v>82.000094723879897</v>
      </c>
      <c r="F10">
        <f t="shared" si="0"/>
        <v>76.381571336929895</v>
      </c>
      <c r="G10">
        <f t="shared" si="0"/>
        <v>76.066796338461813</v>
      </c>
      <c r="H10">
        <f>(H6/H7)*100</f>
        <v>77.777889903627823</v>
      </c>
      <c r="I10">
        <f>(I6/I7)*100</f>
        <v>75.728142045324873</v>
      </c>
    </row>
    <row r="11" spans="1:9" x14ac:dyDescent="0.35">
      <c r="A11" t="s">
        <v>17</v>
      </c>
      <c r="B11">
        <v>3.9100000000000003E-2</v>
      </c>
      <c r="C11">
        <v>4.36E-2</v>
      </c>
      <c r="D11">
        <v>3.8399999999999997E-2</v>
      </c>
      <c r="E11">
        <v>3.8399999999999997E-2</v>
      </c>
      <c r="F11">
        <v>3.1399999999999997E-2</v>
      </c>
      <c r="G11">
        <v>2.8199999999999999E-2</v>
      </c>
      <c r="H11">
        <v>2.8899999999999999E-2</v>
      </c>
      <c r="I11">
        <v>2.8799999999999999E-2</v>
      </c>
    </row>
    <row r="12" spans="1:9" x14ac:dyDescent="0.35">
      <c r="A12" s="2" t="s">
        <v>18</v>
      </c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</row>
    <row r="14" spans="1:9" x14ac:dyDescent="0.35">
      <c r="B14">
        <v>0.2419</v>
      </c>
      <c r="C14">
        <v>0.106</v>
      </c>
      <c r="D14">
        <v>7.6100000000000001E-2</v>
      </c>
      <c r="E14">
        <v>6.0100000000000001E-2</v>
      </c>
      <c r="F14">
        <v>4.6100000000000002E-2</v>
      </c>
    </row>
    <row r="15" spans="1:9" x14ac:dyDescent="0.35">
      <c r="A15" t="s">
        <v>25</v>
      </c>
      <c r="B15">
        <v>122.7</v>
      </c>
      <c r="C15">
        <v>140.4</v>
      </c>
      <c r="D15">
        <v>121.7</v>
      </c>
      <c r="E15">
        <v>153.9</v>
      </c>
      <c r="F15">
        <v>131</v>
      </c>
      <c r="G15">
        <v>152.5</v>
      </c>
      <c r="H15">
        <v>128.9</v>
      </c>
      <c r="I15">
        <v>146.4</v>
      </c>
    </row>
    <row r="16" spans="1:9" x14ac:dyDescent="0.35">
      <c r="A16" t="s">
        <v>26</v>
      </c>
      <c r="B16" s="1">
        <v>0.97250000000000003</v>
      </c>
      <c r="C16" s="1">
        <v>0.9728</v>
      </c>
      <c r="D16" s="1">
        <v>0.97250000000000003</v>
      </c>
      <c r="E16" s="1">
        <v>0.97319999999999995</v>
      </c>
      <c r="F16" s="1">
        <v>0.97270000000000001</v>
      </c>
      <c r="G16" s="1">
        <v>0.97330000000000005</v>
      </c>
      <c r="H16" s="1">
        <v>0.97319999999999995</v>
      </c>
      <c r="I16" s="1">
        <v>0.97350000000000003</v>
      </c>
    </row>
    <row r="18" spans="1:9" x14ac:dyDescent="0.35">
      <c r="A18" t="s">
        <v>27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</row>
    <row r="19" spans="1:9" x14ac:dyDescent="0.35">
      <c r="B19">
        <v>0.24529999999999999</v>
      </c>
      <c r="C19">
        <v>0.10249999999999999</v>
      </c>
      <c r="D19">
        <v>7.3099999999999998E-2</v>
      </c>
      <c r="E19">
        <v>5.7200000000000001E-2</v>
      </c>
      <c r="F19">
        <v>4.7199999999999999E-2</v>
      </c>
    </row>
    <row r="20" spans="1:9" x14ac:dyDescent="0.35">
      <c r="A20" t="s">
        <v>28</v>
      </c>
      <c r="B20">
        <v>131.19999999999999</v>
      </c>
      <c r="C20">
        <v>149</v>
      </c>
      <c r="D20">
        <v>125.7</v>
      </c>
      <c r="E20">
        <v>142.19999999999999</v>
      </c>
      <c r="F20">
        <v>123</v>
      </c>
      <c r="G20">
        <v>141.19999999999999</v>
      </c>
      <c r="H20">
        <v>120.2</v>
      </c>
      <c r="I20">
        <v>140</v>
      </c>
    </row>
    <row r="21" spans="1:9" x14ac:dyDescent="0.35">
      <c r="A21" t="s">
        <v>31</v>
      </c>
      <c r="B21" s="1">
        <v>0.97330000000000005</v>
      </c>
      <c r="C21" s="1">
        <v>0.97360000000000002</v>
      </c>
      <c r="D21" s="1">
        <v>0.97330000000000005</v>
      </c>
      <c r="E21" s="1">
        <v>0.97370000000000001</v>
      </c>
      <c r="F21" s="1">
        <v>0.97340000000000004</v>
      </c>
      <c r="G21" s="1">
        <v>0.9738</v>
      </c>
      <c r="H21" s="1">
        <v>0.97360000000000002</v>
      </c>
      <c r="I21" s="1">
        <v>0.97370000000000001</v>
      </c>
    </row>
    <row r="23" spans="1:9" x14ac:dyDescent="0.35">
      <c r="A23" t="s">
        <v>29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</row>
    <row r="24" spans="1:9" x14ac:dyDescent="0.35">
      <c r="B24">
        <v>0.2417</v>
      </c>
      <c r="C24">
        <v>0.1048</v>
      </c>
      <c r="D24">
        <v>7.4499999999999997E-2</v>
      </c>
      <c r="E24">
        <v>5.6899999999999999E-2</v>
      </c>
      <c r="F24">
        <v>4.65E-2</v>
      </c>
    </row>
    <row r="25" spans="1:9" x14ac:dyDescent="0.35">
      <c r="A25" t="s">
        <v>30</v>
      </c>
      <c r="B25">
        <v>125.5</v>
      </c>
      <c r="C25">
        <v>145.9</v>
      </c>
      <c r="D25">
        <v>124.1</v>
      </c>
      <c r="E25">
        <v>142.5</v>
      </c>
      <c r="F25">
        <v>120.5</v>
      </c>
      <c r="G25">
        <v>142</v>
      </c>
      <c r="H25">
        <v>141.80000000000001</v>
      </c>
      <c r="I25">
        <v>144.19999999999999</v>
      </c>
    </row>
    <row r="26" spans="1:9" x14ac:dyDescent="0.35">
      <c r="A26" t="s">
        <v>32</v>
      </c>
      <c r="B26" s="1">
        <v>0.97289999999999999</v>
      </c>
      <c r="C26" s="1">
        <v>0.97399999999999998</v>
      </c>
      <c r="D26" s="1">
        <v>0.9728</v>
      </c>
      <c r="E26" s="1">
        <v>0.9738</v>
      </c>
      <c r="F26" s="1">
        <v>0.97299999999999998</v>
      </c>
      <c r="G26" s="1">
        <v>0.97340000000000004</v>
      </c>
      <c r="H26" s="1">
        <v>0.97350000000000003</v>
      </c>
      <c r="I26" s="1">
        <v>0.97389999999999999</v>
      </c>
    </row>
  </sheetData>
  <mergeCells count="1">
    <mergeCell ref="A12:I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Agrawal</dc:creator>
  <cp:lastModifiedBy>Soham Agrawal</cp:lastModifiedBy>
  <dcterms:created xsi:type="dcterms:W3CDTF">2015-06-05T18:17:20Z</dcterms:created>
  <dcterms:modified xsi:type="dcterms:W3CDTF">2026-08-19T15:19:58Z</dcterms:modified>
</cp:coreProperties>
</file>