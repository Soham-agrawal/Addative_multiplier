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oham\Documents\soham\codes\logarithmic_multiplier\"/>
    </mc:Choice>
  </mc:AlternateContent>
  <xr:revisionPtr revIDLastSave="0" documentId="13_ncr:1_{7246C695-69AB-40A4-AD2D-5D365C7069B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1" l="1"/>
  <c r="D17" i="1"/>
  <c r="E17" i="1"/>
  <c r="F17" i="1"/>
  <c r="G17" i="1"/>
  <c r="H17" i="1"/>
  <c r="I17" i="1"/>
  <c r="B17" i="1"/>
  <c r="C15" i="1"/>
  <c r="D15" i="1"/>
  <c r="E15" i="1"/>
  <c r="F15" i="1"/>
  <c r="G15" i="1"/>
  <c r="H15" i="1"/>
  <c r="I15" i="1"/>
  <c r="B15" i="1"/>
  <c r="C14" i="1"/>
  <c r="D14" i="1"/>
  <c r="E14" i="1"/>
  <c r="F14" i="1"/>
  <c r="G14" i="1"/>
  <c r="H14" i="1"/>
  <c r="I14" i="1"/>
  <c r="B14" i="1"/>
  <c r="C10" i="1"/>
  <c r="D10" i="1"/>
  <c r="E10" i="1"/>
  <c r="F10" i="1"/>
  <c r="G10" i="1"/>
  <c r="I10" i="1"/>
  <c r="H10" i="1"/>
  <c r="B10" i="1"/>
</calcChain>
</file>

<file path=xl/sharedStrings.xml><?xml version="1.0" encoding="utf-8"?>
<sst xmlns="http://schemas.openxmlformats.org/spreadsheetml/2006/main" count="49" uniqueCount="39">
  <si>
    <t>Active Logic Cells</t>
  </si>
  <si>
    <t>Core Utilization</t>
  </si>
  <si>
    <t>bf16_r2_clm</t>
  </si>
  <si>
    <t>bf16_r2_fplm1</t>
  </si>
  <si>
    <t>bf16_r4_clm</t>
  </si>
  <si>
    <t>bf16_r4_fplm1</t>
  </si>
  <si>
    <t>fp16_r2_clm</t>
  </si>
  <si>
    <t>fp16_r2_fplm1</t>
  </si>
  <si>
    <t>fp16_r4_clm</t>
  </si>
  <si>
    <t>fp16_r4_fplm1</t>
  </si>
  <si>
    <t>Total Power (uW)</t>
  </si>
  <si>
    <t>internal Power (uW)</t>
  </si>
  <si>
    <t>Switching Power (uW)</t>
  </si>
  <si>
    <t>Leakage Power (nW)</t>
  </si>
  <si>
    <t>STD Cell Area(logic) (um^2)</t>
  </si>
  <si>
    <t>Core Area (um^2)</t>
  </si>
  <si>
    <t>Core Utilization(%)</t>
  </si>
  <si>
    <t>MRED</t>
  </si>
  <si>
    <t>FAST UNIFIED MULTIPLIER NEURAL NETWORK EVALUATION</t>
  </si>
  <si>
    <t>Speed 0</t>
  </si>
  <si>
    <t>Epoch 1/5</t>
  </si>
  <si>
    <t>Epoch 2/5</t>
  </si>
  <si>
    <t>Epoch 3/5</t>
  </si>
  <si>
    <t>Epoch 4/5</t>
  </si>
  <si>
    <t>Epoch 5/5</t>
  </si>
  <si>
    <t>Evaluated in 1000 samles in(s) - (Exact baseline = 3.6s)</t>
  </si>
  <si>
    <t>Baseline = 97.34%</t>
  </si>
  <si>
    <t>Speed 1</t>
  </si>
  <si>
    <t>Evaluated in 1000 samles in(s) - (Exact baseline = 4.0s)</t>
  </si>
  <si>
    <t>Speed 2</t>
  </si>
  <si>
    <t>Evaluated in 1000 samles in(s) - (Exact baseline = 3.8s)</t>
  </si>
  <si>
    <t>Baseline = 97.35%</t>
  </si>
  <si>
    <t>Baseline = 97.37%</t>
  </si>
  <si>
    <t>Clock period (ns)</t>
  </si>
  <si>
    <t>Worst setup slack (ns)</t>
  </si>
  <si>
    <t>PDP (fJ)</t>
  </si>
  <si>
    <t>Baseline clock frequency (MHz)</t>
  </si>
  <si>
    <t>Maximum operating frquency (MHz)</t>
  </si>
  <si>
    <t>Critical Path Delay (ns)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</si>
</sst>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topLeftCell="A8" workbookViewId="0">
      <selection activeCell="C29" sqref="C29"/>
    </sheetView>
  </sheetViews>
  <sheetFormatPr defaultRowHeight="14.5" x14ac:dyDescent="0.35"/>
  <cols>
    <col min="1" max="1" width="45.08984375" customWidth="1"/>
    <col min="2" max="2" width="12.90625" customWidth="1"/>
    <col min="3" max="3" width="16.26953125" customWidth="1"/>
    <col min="4" max="4" width="12.453125" customWidth="1"/>
    <col min="5" max="5" width="15" customWidth="1"/>
    <col min="6" max="6" width="12.7265625" customWidth="1"/>
    <col min="7" max="7" width="13.453125" customWidth="1"/>
    <col min="8" max="8" width="14.1796875" customWidth="1"/>
    <col min="9" max="9" width="15" customWidth="1"/>
  </cols>
  <sheetData>
    <row r="1" spans="1:9" x14ac:dyDescent="0.35">
      <c r="B1" t="s">
        <v>8</v>
      </c>
      <c r="C1" t="s">
        <v>4</v>
      </c>
      <c r="D1" t="s">
        <v>2</v>
      </c>
      <c r="E1" t="s">
        <v>6</v>
      </c>
      <c r="F1" t="s">
        <v>5</v>
      </c>
      <c r="G1" t="s">
        <v>3</v>
      </c>
      <c r="H1" t="s">
        <v>9</v>
      </c>
      <c r="I1" t="s">
        <v>7</v>
      </c>
    </row>
    <row r="2" spans="1:9" x14ac:dyDescent="0.35">
      <c r="A2" t="s">
        <v>10</v>
      </c>
      <c r="B2">
        <v>50.68</v>
      </c>
      <c r="C2">
        <v>51.3</v>
      </c>
      <c r="D2">
        <v>55.28</v>
      </c>
      <c r="E2">
        <v>55.4</v>
      </c>
      <c r="F2">
        <v>63.12</v>
      </c>
      <c r="G2">
        <v>71.510000000000005</v>
      </c>
      <c r="H2">
        <v>71.73</v>
      </c>
      <c r="I2">
        <v>77.59</v>
      </c>
    </row>
    <row r="3" spans="1:9" x14ac:dyDescent="0.35">
      <c r="A3" t="s">
        <v>11</v>
      </c>
      <c r="B3">
        <v>22.49</v>
      </c>
      <c r="C3">
        <v>22.7</v>
      </c>
      <c r="D3">
        <v>24.47</v>
      </c>
      <c r="E3">
        <v>24.9</v>
      </c>
      <c r="F3">
        <v>27.55</v>
      </c>
      <c r="G3">
        <v>31.4</v>
      </c>
      <c r="H3">
        <v>31.89</v>
      </c>
      <c r="I3">
        <v>34.26</v>
      </c>
    </row>
    <row r="4" spans="1:9" x14ac:dyDescent="0.35">
      <c r="A4" t="s">
        <v>12</v>
      </c>
      <c r="B4">
        <v>28.18</v>
      </c>
      <c r="C4">
        <v>28.6</v>
      </c>
      <c r="D4">
        <v>30.81</v>
      </c>
      <c r="E4">
        <v>30.49</v>
      </c>
      <c r="F4">
        <v>35.56</v>
      </c>
      <c r="G4">
        <v>40.1</v>
      </c>
      <c r="H4">
        <v>39.83</v>
      </c>
      <c r="I4">
        <v>43.32</v>
      </c>
    </row>
    <row r="5" spans="1:9" x14ac:dyDescent="0.35">
      <c r="A5" t="s">
        <v>13</v>
      </c>
      <c r="B5">
        <v>1.26</v>
      </c>
      <c r="C5">
        <v>1.25</v>
      </c>
      <c r="D5">
        <v>1.39</v>
      </c>
      <c r="E5">
        <v>1.48</v>
      </c>
      <c r="F5">
        <v>1.5</v>
      </c>
      <c r="G5">
        <v>1.77</v>
      </c>
      <c r="H5">
        <v>1.62</v>
      </c>
      <c r="I5">
        <v>1.78</v>
      </c>
    </row>
    <row r="6" spans="1:9" x14ac:dyDescent="0.35">
      <c r="A6" t="s">
        <v>14</v>
      </c>
      <c r="B6">
        <v>1278.73</v>
      </c>
      <c r="C6">
        <v>1291.24</v>
      </c>
      <c r="D6">
        <v>1396.34</v>
      </c>
      <c r="E6">
        <v>1385.08</v>
      </c>
      <c r="F6">
        <v>1452.64</v>
      </c>
      <c r="G6">
        <v>1650.33</v>
      </c>
      <c r="H6">
        <v>1541.48</v>
      </c>
      <c r="I6">
        <v>1659.09</v>
      </c>
    </row>
    <row r="7" spans="1:9" x14ac:dyDescent="0.35">
      <c r="A7" t="s">
        <v>15</v>
      </c>
      <c r="B7">
        <v>1506.44</v>
      </c>
      <c r="C7">
        <v>1523.96</v>
      </c>
      <c r="D7">
        <v>1689.12</v>
      </c>
      <c r="E7">
        <v>1689.12</v>
      </c>
      <c r="F7">
        <v>1901.82</v>
      </c>
      <c r="G7">
        <v>2169.58</v>
      </c>
      <c r="H7">
        <v>1981.9</v>
      </c>
      <c r="I7">
        <v>2190.85</v>
      </c>
    </row>
    <row r="8" spans="1:9" x14ac:dyDescent="0.35">
      <c r="A8" t="s">
        <v>0</v>
      </c>
      <c r="B8">
        <v>146</v>
      </c>
      <c r="C8">
        <v>147</v>
      </c>
      <c r="D8">
        <v>166</v>
      </c>
      <c r="E8">
        <v>164</v>
      </c>
      <c r="F8">
        <v>171</v>
      </c>
      <c r="G8">
        <v>196</v>
      </c>
      <c r="H8">
        <v>180</v>
      </c>
      <c r="I8">
        <v>197</v>
      </c>
    </row>
    <row r="9" spans="1:9" x14ac:dyDescent="0.35">
      <c r="A9" t="s">
        <v>1</v>
      </c>
      <c r="B9">
        <v>0.84883699999999995</v>
      </c>
      <c r="C9">
        <v>0.84729100000000002</v>
      </c>
      <c r="D9">
        <v>0.82666700000000004</v>
      </c>
      <c r="E9">
        <v>0.82</v>
      </c>
      <c r="F9">
        <v>0.76381600000000005</v>
      </c>
      <c r="G9">
        <v>0.76066900000000004</v>
      </c>
      <c r="H9">
        <v>0.77777799999999997</v>
      </c>
      <c r="I9">
        <v>0.75728200000000001</v>
      </c>
    </row>
    <row r="10" spans="1:9" x14ac:dyDescent="0.35">
      <c r="A10" t="s">
        <v>16</v>
      </c>
      <c r="B10">
        <f>(B6/B7)*100</f>
        <v>84.884230370940756</v>
      </c>
      <c r="C10">
        <f t="shared" ref="C10:G10" si="0">(C6/C7)*100</f>
        <v>84.729257985773899</v>
      </c>
      <c r="D10">
        <f t="shared" si="0"/>
        <v>82.66671402860662</v>
      </c>
      <c r="E10">
        <f t="shared" si="0"/>
        <v>82.000094723879897</v>
      </c>
      <c r="F10">
        <f t="shared" si="0"/>
        <v>76.381571336929895</v>
      </c>
      <c r="G10">
        <f t="shared" si="0"/>
        <v>76.066796338461813</v>
      </c>
      <c r="H10">
        <f>(H6/H7)*100</f>
        <v>77.777889903627823</v>
      </c>
      <c r="I10">
        <f>(I6/I7)*100</f>
        <v>75.728142045324873</v>
      </c>
    </row>
    <row r="11" spans="1:9" x14ac:dyDescent="0.35">
      <c r="A11" t="s">
        <v>17</v>
      </c>
      <c r="B11">
        <v>3.9100000000000003E-2</v>
      </c>
      <c r="C11">
        <v>4.36E-2</v>
      </c>
      <c r="D11">
        <v>3.8399999999999997E-2</v>
      </c>
      <c r="E11">
        <v>3.8399999999999997E-2</v>
      </c>
      <c r="F11">
        <v>3.1399999999999997E-2</v>
      </c>
      <c r="G11">
        <v>2.8199999999999999E-2</v>
      </c>
      <c r="H11">
        <v>2.8899999999999999E-2</v>
      </c>
      <c r="I11">
        <v>2.8799999999999999E-2</v>
      </c>
    </row>
    <row r="12" spans="1:9" x14ac:dyDescent="0.35">
      <c r="A12" t="s">
        <v>33</v>
      </c>
      <c r="B12">
        <v>25</v>
      </c>
      <c r="C12">
        <v>25</v>
      </c>
      <c r="D12">
        <v>25</v>
      </c>
      <c r="E12">
        <v>25</v>
      </c>
      <c r="F12">
        <v>25</v>
      </c>
      <c r="G12">
        <v>25</v>
      </c>
      <c r="H12">
        <v>25</v>
      </c>
      <c r="I12">
        <v>25</v>
      </c>
    </row>
    <row r="13" spans="1:9" x14ac:dyDescent="0.35">
      <c r="A13" t="s">
        <v>34</v>
      </c>
      <c r="B13">
        <v>11.4426063</v>
      </c>
      <c r="C13">
        <v>11.149002039999999</v>
      </c>
      <c r="D13">
        <v>11.282905599999999</v>
      </c>
      <c r="E13">
        <v>11.39517757</v>
      </c>
      <c r="F13">
        <v>10.57641205</v>
      </c>
      <c r="G13">
        <v>9.8150379490000006</v>
      </c>
      <c r="H13">
        <v>10.347497369999999</v>
      </c>
      <c r="I13">
        <v>9.8334632109999998</v>
      </c>
    </row>
    <row r="14" spans="1:9" x14ac:dyDescent="0.35">
      <c r="A14" t="s">
        <v>38</v>
      </c>
      <c r="B14">
        <f>(B12-B13)</f>
        <v>13.5573937</v>
      </c>
      <c r="C14">
        <f t="shared" ref="C14:I14" si="1">(C12-C13)</f>
        <v>13.850997960000001</v>
      </c>
      <c r="D14">
        <f t="shared" si="1"/>
        <v>13.717094400000001</v>
      </c>
      <c r="E14">
        <f t="shared" si="1"/>
        <v>13.60482243</v>
      </c>
      <c r="F14">
        <f t="shared" si="1"/>
        <v>14.42358795</v>
      </c>
      <c r="G14">
        <f t="shared" si="1"/>
        <v>15.184962050999999</v>
      </c>
      <c r="H14">
        <f t="shared" si="1"/>
        <v>14.652502630000001</v>
      </c>
      <c r="I14">
        <f t="shared" si="1"/>
        <v>15.166536789</v>
      </c>
    </row>
    <row r="15" spans="1:9" x14ac:dyDescent="0.35">
      <c r="A15" t="s">
        <v>35</v>
      </c>
      <c r="B15">
        <f>(B2*B14)</f>
        <v>687.08871271600003</v>
      </c>
      <c r="C15">
        <f t="shared" ref="C15:I15" si="2">(C2*C14)</f>
        <v>710.55619534799996</v>
      </c>
      <c r="D15">
        <f t="shared" si="2"/>
        <v>758.2809784320001</v>
      </c>
      <c r="E15">
        <f t="shared" si="2"/>
        <v>753.70716262200006</v>
      </c>
      <c r="F15">
        <f t="shared" si="2"/>
        <v>910.41687140399995</v>
      </c>
      <c r="G15">
        <f t="shared" si="2"/>
        <v>1085.8766362670101</v>
      </c>
      <c r="H15">
        <f t="shared" si="2"/>
        <v>1051.0240136499001</v>
      </c>
      <c r="I15">
        <f t="shared" si="2"/>
        <v>1176.7715894585101</v>
      </c>
    </row>
    <row r="16" spans="1:9" x14ac:dyDescent="0.35">
      <c r="A16" t="s">
        <v>36</v>
      </c>
      <c r="B16">
        <v>40</v>
      </c>
      <c r="C16">
        <v>40</v>
      </c>
      <c r="D16">
        <v>40</v>
      </c>
      <c r="E16">
        <v>40</v>
      </c>
      <c r="F16">
        <v>40</v>
      </c>
      <c r="G16">
        <v>40</v>
      </c>
      <c r="H16">
        <v>40</v>
      </c>
      <c r="I16">
        <v>40</v>
      </c>
    </row>
    <row r="17" spans="1:9" x14ac:dyDescent="0.35">
      <c r="A17" t="s">
        <v>37</v>
      </c>
      <c r="B17">
        <f>1000/(B14)</f>
        <v>73.760489820399627</v>
      </c>
      <c r="C17">
        <f t="shared" ref="C17:I17" si="3">1000/(C14)</f>
        <v>72.196963921868914</v>
      </c>
      <c r="D17">
        <f t="shared" si="3"/>
        <v>72.901736391053774</v>
      </c>
      <c r="E17">
        <f t="shared" si="3"/>
        <v>73.503348180046771</v>
      </c>
      <c r="F17">
        <f t="shared" si="3"/>
        <v>69.33087685716923</v>
      </c>
      <c r="G17">
        <f t="shared" si="3"/>
        <v>65.854626217794561</v>
      </c>
      <c r="H17">
        <f t="shared" si="3"/>
        <v>68.247727043745286</v>
      </c>
      <c r="I17">
        <f t="shared" si="3"/>
        <v>65.934630556217741</v>
      </c>
    </row>
    <row r="18" spans="1:9" x14ac:dyDescent="0.35">
      <c r="A18" s="2" t="s">
        <v>18</v>
      </c>
      <c r="B18" s="2"/>
      <c r="C18" s="2"/>
      <c r="D18" s="2"/>
      <c r="E18" s="2"/>
      <c r="F18" s="2"/>
      <c r="G18" s="2"/>
      <c r="H18" s="2"/>
      <c r="I18" s="2"/>
    </row>
    <row r="19" spans="1:9" x14ac:dyDescent="0.35">
      <c r="A19" t="s">
        <v>19</v>
      </c>
      <c r="B19" t="s">
        <v>20</v>
      </c>
      <c r="C19" t="s">
        <v>21</v>
      </c>
      <c r="D19" t="s">
        <v>22</v>
      </c>
      <c r="E19" t="s">
        <v>23</v>
      </c>
      <c r="F19" t="s">
        <v>24</v>
      </c>
    </row>
    <row r="20" spans="1:9" x14ac:dyDescent="0.35">
      <c r="B20">
        <v>0.2419</v>
      </c>
      <c r="C20">
        <v>0.106</v>
      </c>
      <c r="D20">
        <v>7.6100000000000001E-2</v>
      </c>
      <c r="E20">
        <v>6.0100000000000001E-2</v>
      </c>
      <c r="F20">
        <v>4.6100000000000002E-2</v>
      </c>
    </row>
    <row r="21" spans="1:9" x14ac:dyDescent="0.35">
      <c r="A21" t="s">
        <v>25</v>
      </c>
      <c r="B21">
        <v>122.7</v>
      </c>
      <c r="C21">
        <v>140.4</v>
      </c>
      <c r="D21">
        <v>121.7</v>
      </c>
      <c r="E21">
        <v>153.9</v>
      </c>
      <c r="F21">
        <v>131</v>
      </c>
      <c r="G21">
        <v>152.5</v>
      </c>
      <c r="H21">
        <v>128.9</v>
      </c>
      <c r="I21">
        <v>146.4</v>
      </c>
    </row>
    <row r="22" spans="1:9" x14ac:dyDescent="0.35">
      <c r="A22" t="s">
        <v>26</v>
      </c>
      <c r="B22" s="1">
        <v>0.97250000000000003</v>
      </c>
      <c r="C22" s="1">
        <v>0.9728</v>
      </c>
      <c r="D22" s="1">
        <v>0.97250000000000003</v>
      </c>
      <c r="E22" s="1">
        <v>0.97319999999999995</v>
      </c>
      <c r="F22" s="1">
        <v>0.97270000000000001</v>
      </c>
      <c r="G22" s="1">
        <v>0.97330000000000005</v>
      </c>
      <c r="H22" s="1">
        <v>0.97319999999999995</v>
      </c>
      <c r="I22" s="1">
        <v>0.97350000000000003</v>
      </c>
    </row>
    <row r="24" spans="1:9" x14ac:dyDescent="0.35">
      <c r="A24" t="s">
        <v>27</v>
      </c>
      <c r="B24" t="s">
        <v>20</v>
      </c>
      <c r="C24" t="s">
        <v>21</v>
      </c>
      <c r="D24" t="s">
        <v>22</v>
      </c>
      <c r="E24" t="s">
        <v>23</v>
      </c>
      <c r="F24" t="s">
        <v>24</v>
      </c>
    </row>
    <row r="25" spans="1:9" x14ac:dyDescent="0.35">
      <c r="B25">
        <v>0.24529999999999999</v>
      </c>
      <c r="C25">
        <v>0.10249999999999999</v>
      </c>
      <c r="D25">
        <v>7.3099999999999998E-2</v>
      </c>
      <c r="E25">
        <v>5.7200000000000001E-2</v>
      </c>
      <c r="F25">
        <v>4.7199999999999999E-2</v>
      </c>
    </row>
    <row r="26" spans="1:9" x14ac:dyDescent="0.35">
      <c r="A26" t="s">
        <v>28</v>
      </c>
      <c r="B26">
        <v>131.19999999999999</v>
      </c>
      <c r="C26">
        <v>149</v>
      </c>
      <c r="D26">
        <v>125.7</v>
      </c>
      <c r="E26">
        <v>142.19999999999999</v>
      </c>
      <c r="F26">
        <v>123</v>
      </c>
      <c r="G26">
        <v>141.19999999999999</v>
      </c>
      <c r="H26">
        <v>120.2</v>
      </c>
      <c r="I26">
        <v>140</v>
      </c>
    </row>
    <row r="27" spans="1:9" x14ac:dyDescent="0.35">
      <c r="A27" t="s">
        <v>31</v>
      </c>
      <c r="B27" s="1">
        <v>0.97330000000000005</v>
      </c>
      <c r="C27" s="1">
        <v>0.97360000000000002</v>
      </c>
      <c r="D27" s="1">
        <v>0.97330000000000005</v>
      </c>
      <c r="E27" s="1">
        <v>0.97370000000000001</v>
      </c>
      <c r="F27" s="1">
        <v>0.97340000000000004</v>
      </c>
      <c r="G27" s="1">
        <v>0.9738</v>
      </c>
      <c r="H27" s="1">
        <v>0.97360000000000002</v>
      </c>
      <c r="I27" s="1">
        <v>0.97370000000000001</v>
      </c>
    </row>
    <row r="29" spans="1:9" x14ac:dyDescent="0.35">
      <c r="A29" t="s">
        <v>29</v>
      </c>
      <c r="B29" t="s">
        <v>20</v>
      </c>
      <c r="C29" t="s">
        <v>21</v>
      </c>
      <c r="D29" t="s">
        <v>22</v>
      </c>
      <c r="E29" t="s">
        <v>23</v>
      </c>
      <c r="F29" t="s">
        <v>24</v>
      </c>
    </row>
    <row r="30" spans="1:9" x14ac:dyDescent="0.35">
      <c r="B30">
        <v>0.2417</v>
      </c>
      <c r="C30">
        <v>0.1048</v>
      </c>
      <c r="D30">
        <v>7.4499999999999997E-2</v>
      </c>
      <c r="E30">
        <v>5.6899999999999999E-2</v>
      </c>
      <c r="F30">
        <v>4.65E-2</v>
      </c>
    </row>
    <row r="31" spans="1:9" x14ac:dyDescent="0.35">
      <c r="A31" t="s">
        <v>30</v>
      </c>
      <c r="B31">
        <v>125.5</v>
      </c>
      <c r="C31">
        <v>145.9</v>
      </c>
      <c r="D31">
        <v>124.1</v>
      </c>
      <c r="E31">
        <v>142.5</v>
      </c>
      <c r="F31">
        <v>120.5</v>
      </c>
      <c r="G31">
        <v>142</v>
      </c>
      <c r="H31">
        <v>141.80000000000001</v>
      </c>
      <c r="I31">
        <v>144.19999999999999</v>
      </c>
    </row>
    <row r="32" spans="1:9" x14ac:dyDescent="0.35">
      <c r="A32" t="s">
        <v>32</v>
      </c>
      <c r="B32" s="1">
        <v>0.97289999999999999</v>
      </c>
      <c r="C32" s="1">
        <v>0.97399999999999998</v>
      </c>
      <c r="D32" s="1">
        <v>0.9728</v>
      </c>
      <c r="E32" s="1">
        <v>0.9738</v>
      </c>
      <c r="F32" s="1">
        <v>0.97299999999999998</v>
      </c>
      <c r="G32" s="1">
        <v>0.97340000000000004</v>
      </c>
      <c r="H32" s="1">
        <v>0.97350000000000003</v>
      </c>
      <c r="I32" s="1">
        <v>0.97389999999999999</v>
      </c>
    </row>
  </sheetData>
  <mergeCells count="1">
    <mergeCell ref="A18:I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Soham Agrawal</dc:creator>
  <cp:lastModifiedBy>Soham Agrawal</cp:lastModifiedBy>
  <dcterms:created xsi:type="dcterms:W3CDTF">2015-06-05T18:17:20Z</dcterms:created>
  <dcterms:modified xsi:type="dcterms:W3CDTF">2026-08-20T03:48:23Z</dcterms:modified>
</cp:coreProperties>
</file>